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irst Method" sheetId="1" r:id="rId1"/>
  </sheets>
  <calcPr calcId="152511"/>
</workbook>
</file>

<file path=xl/calcChain.xml><?xml version="1.0" encoding="utf-8"?>
<calcChain xmlns="http://schemas.openxmlformats.org/spreadsheetml/2006/main">
  <c r="N20" i="1" l="1"/>
  <c r="M20" i="1"/>
  <c r="L20" i="1"/>
  <c r="K20" i="1"/>
  <c r="J20" i="1"/>
  <c r="N11" i="1"/>
  <c r="N12" i="1"/>
  <c r="N13" i="1"/>
  <c r="N14" i="1"/>
  <c r="N15" i="1"/>
  <c r="N16" i="1"/>
  <c r="N17" i="1"/>
  <c r="N18" i="1"/>
  <c r="N19" i="1"/>
  <c r="N10" i="1"/>
  <c r="M11" i="1"/>
  <c r="M12" i="1"/>
  <c r="M13" i="1"/>
  <c r="M14" i="1"/>
  <c r="M15" i="1"/>
  <c r="M16" i="1"/>
  <c r="M17" i="1"/>
  <c r="M18" i="1"/>
  <c r="M19" i="1"/>
  <c r="M10" i="1"/>
  <c r="L11" i="1"/>
  <c r="L12" i="1"/>
  <c r="L13" i="1"/>
  <c r="L14" i="1"/>
  <c r="L15" i="1"/>
  <c r="L16" i="1"/>
  <c r="L17" i="1"/>
  <c r="L18" i="1"/>
  <c r="L19" i="1"/>
  <c r="L10" i="1"/>
  <c r="L23" i="1" s="1"/>
  <c r="L24" i="1" s="1"/>
  <c r="L25" i="1" s="1"/>
  <c r="K11" i="1"/>
  <c r="K12" i="1"/>
  <c r="K13" i="1"/>
  <c r="K14" i="1"/>
  <c r="K15" i="1"/>
  <c r="K16" i="1"/>
  <c r="K17" i="1"/>
  <c r="K18" i="1"/>
  <c r="K19" i="1"/>
  <c r="K10" i="1"/>
  <c r="J11" i="1"/>
  <c r="J12" i="1"/>
  <c r="J13" i="1"/>
  <c r="J14" i="1"/>
  <c r="J15" i="1"/>
  <c r="J16" i="1"/>
  <c r="J17" i="1"/>
  <c r="J18" i="1"/>
  <c r="J19" i="1"/>
  <c r="J10" i="1"/>
  <c r="K23" i="1" l="1"/>
  <c r="K24" i="1" s="1"/>
  <c r="K25" i="1" s="1"/>
  <c r="M23" i="1"/>
  <c r="M24" i="1" s="1"/>
  <c r="M25" i="1" s="1"/>
  <c r="J23" i="1"/>
  <c r="J24" i="1" s="1"/>
  <c r="J25" i="1" s="1"/>
  <c r="N23" i="1"/>
  <c r="N24" i="1" s="1"/>
  <c r="N25" i="1" s="1"/>
  <c r="J26" i="1" l="1"/>
</calcChain>
</file>

<file path=xl/sharedStrings.xml><?xml version="1.0" encoding="utf-8"?>
<sst xmlns="http://schemas.openxmlformats.org/spreadsheetml/2006/main" count="77" uniqueCount="52">
  <si>
    <t>Sr.No</t>
  </si>
  <si>
    <t>Reg No</t>
  </si>
  <si>
    <t>Name</t>
  </si>
  <si>
    <t>Max Marks</t>
  </si>
  <si>
    <t>AAA</t>
  </si>
  <si>
    <t>BBB</t>
  </si>
  <si>
    <t>CCC</t>
  </si>
  <si>
    <t>A</t>
  </si>
  <si>
    <t>B</t>
  </si>
  <si>
    <t>C</t>
  </si>
  <si>
    <t>D</t>
  </si>
  <si>
    <t>ATTAINMENT TABLE</t>
  </si>
  <si>
    <t>ABSENTEE + NOT ATTEMPT</t>
  </si>
  <si>
    <t>PRESENT STUDENT FOR  ATTEMPT</t>
  </si>
  <si>
    <t>No of Student secure &gt; Thresold</t>
  </si>
  <si>
    <t>% of Student secure &gt; Thresold</t>
  </si>
  <si>
    <t>ATTAINMENT CRITERIA</t>
  </si>
  <si>
    <t>Final Attainment Level in CIA</t>
  </si>
  <si>
    <t>Attainment (3 ≥ 70%, 2 ≥60%, 1 ≥ 50%)</t>
  </si>
  <si>
    <t>%</t>
  </si>
  <si>
    <t>UNIVERSITY /COLLEGE NAME</t>
  </si>
  <si>
    <t>SCHOOL /DEPARTMENT NAME</t>
  </si>
  <si>
    <t>Program Name</t>
  </si>
  <si>
    <t>Course Code</t>
  </si>
  <si>
    <t>Course Name</t>
  </si>
  <si>
    <t>Good</t>
  </si>
  <si>
    <t>Very Good</t>
  </si>
  <si>
    <t>Poor</t>
  </si>
  <si>
    <t>Threshold Level/Bench Mark</t>
  </si>
  <si>
    <t>Target To achieved</t>
  </si>
  <si>
    <t>MBA</t>
  </si>
  <si>
    <t>II</t>
  </si>
  <si>
    <t>Attainment through university examination:</t>
  </si>
  <si>
    <t>Weightage given to the Internal examination (40%):</t>
  </si>
  <si>
    <t>Weightage given to the university examination (60%):</t>
  </si>
  <si>
    <t>Final attainment level of the course (by Direct Assessement):</t>
  </si>
  <si>
    <t>NA</t>
  </si>
  <si>
    <t>Attainment through internal assessment: (CIA)</t>
  </si>
  <si>
    <t>3 (Level)</t>
  </si>
  <si>
    <t>2 (Level)</t>
  </si>
  <si>
    <t>1 (Level)</t>
  </si>
  <si>
    <t>ddd</t>
  </si>
  <si>
    <t>c</t>
  </si>
  <si>
    <t xml:space="preserve">Attainment for End Term Examination </t>
  </si>
  <si>
    <t>CO1</t>
  </si>
  <si>
    <t>CO2</t>
  </si>
  <si>
    <t>CO3</t>
  </si>
  <si>
    <t>CO4</t>
  </si>
  <si>
    <t>CO5</t>
  </si>
  <si>
    <t>Sem</t>
  </si>
  <si>
    <t>23BAXCTC</t>
  </si>
  <si>
    <t xml:space="preserve">Please Subscribe this channel for more videos like this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</si>
</sst>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9"/>
      <color theme="1"/>
      <name val="Trebuchet MS"/>
      <family val="2"/>
    </font>
    <font>
      <sz val="9"/>
      <color theme="1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B4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left" vertical="center" wrapText="1"/>
    </xf>
    <xf numFmtId="0" fontId="6" fillId="6" borderId="11" xfId="0" applyFont="1" applyFill="1" applyBorder="1" applyAlignment="1" applyProtection="1">
      <alignment horizontal="left" vertical="center" wrapText="1"/>
    </xf>
    <xf numFmtId="0" fontId="6" fillId="6" borderId="12" xfId="0" applyFont="1" applyFill="1" applyBorder="1" applyAlignment="1" applyProtection="1">
      <alignment horizontal="left" vertical="center" wrapText="1"/>
    </xf>
    <xf numFmtId="0" fontId="6" fillId="6" borderId="13" xfId="0" applyFont="1" applyFill="1" applyBorder="1" applyAlignment="1" applyProtection="1">
      <alignment horizontal="left" vertical="center" wrapText="1"/>
    </xf>
    <xf numFmtId="0" fontId="6" fillId="6" borderId="8" xfId="0" applyFont="1" applyFill="1" applyBorder="1" applyAlignment="1" applyProtection="1">
      <alignment horizontal="left" vertical="center" wrapText="1"/>
    </xf>
    <xf numFmtId="0" fontId="6" fillId="6" borderId="9" xfId="0" applyFont="1" applyFill="1" applyBorder="1" applyAlignment="1" applyProtection="1">
      <alignment horizontal="left" vertical="center" wrapText="1"/>
    </xf>
    <xf numFmtId="0" fontId="6" fillId="6" borderId="10" xfId="0" applyFont="1" applyFill="1" applyBorder="1" applyAlignment="1" applyProtection="1">
      <alignment horizontal="left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4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13" xfId="0" applyFont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0" fontId="5" fillId="4" borderId="11" xfId="0" applyFont="1" applyFill="1" applyBorder="1" applyAlignment="1" applyProtection="1">
      <alignment horizontal="center" vertical="center" wrapText="1"/>
    </xf>
    <xf numFmtId="0" fontId="5" fillId="4" borderId="13" xfId="0" applyFont="1" applyFill="1" applyBorder="1" applyAlignment="1" applyProtection="1">
      <alignment horizontal="center" vertical="center" wrapText="1"/>
    </xf>
    <xf numFmtId="0" fontId="5" fillId="4" borderId="8" xfId="0" applyFont="1" applyFill="1" applyBorder="1" applyAlignment="1" applyProtection="1">
      <alignment horizontal="center" vertical="center" wrapText="1"/>
    </xf>
    <xf numFmtId="0" fontId="5" fillId="4" borderId="10" xfId="0" applyFont="1" applyFill="1" applyBorder="1" applyAlignment="1" applyProtection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1" fillId="7" borderId="7" xfId="0" applyFont="1" applyFill="1" applyBorder="1" applyAlignment="1">
      <alignment horizontal="center" vertical="center" textRotation="90"/>
    </xf>
    <xf numFmtId="0" fontId="1" fillId="7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A12" workbookViewId="0">
      <selection sqref="A1:N26"/>
    </sheetView>
  </sheetViews>
  <sheetFormatPr defaultRowHeight="16.5" x14ac:dyDescent="0.25"/>
  <cols>
    <col min="1" max="1" width="6.140625" style="1" customWidth="1"/>
    <col min="2" max="2" width="13.42578125" style="1" customWidth="1"/>
    <col min="3" max="3" width="23.7109375" style="1" customWidth="1"/>
    <col min="4" max="4" width="8.7109375" style="1" customWidth="1"/>
    <col min="5" max="7" width="8.7109375" style="6" customWidth="1"/>
    <col min="8" max="14" width="8.7109375" style="1" customWidth="1"/>
    <col min="15" max="16384" width="9.140625" style="1"/>
  </cols>
  <sheetData>
    <row r="1" spans="1:14" x14ac:dyDescent="0.25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25">
      <c r="A2" s="28" t="s">
        <v>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33" x14ac:dyDescent="0.25">
      <c r="A3" s="30" t="s">
        <v>22</v>
      </c>
      <c r="B3" s="31"/>
      <c r="C3" s="31"/>
      <c r="D3" s="32"/>
      <c r="E3" s="29" t="s">
        <v>30</v>
      </c>
      <c r="F3" s="29"/>
      <c r="G3" s="9" t="s">
        <v>49</v>
      </c>
      <c r="H3" s="3" t="s">
        <v>31</v>
      </c>
      <c r="I3" s="10" t="s">
        <v>23</v>
      </c>
      <c r="J3" s="29" t="s">
        <v>50</v>
      </c>
      <c r="K3" s="29"/>
      <c r="L3" s="2" t="s">
        <v>24</v>
      </c>
      <c r="M3" s="24"/>
      <c r="N3" s="24"/>
    </row>
    <row r="4" spans="1:14" ht="20.100000000000001" customHeight="1" x14ac:dyDescent="0.25">
      <c r="A4" s="34" t="s">
        <v>16</v>
      </c>
      <c r="B4" s="35"/>
      <c r="C4" s="36"/>
      <c r="D4" s="43">
        <v>70</v>
      </c>
      <c r="E4" s="43"/>
      <c r="F4" s="27" t="s">
        <v>38</v>
      </c>
      <c r="G4" s="27"/>
      <c r="H4" s="27" t="s">
        <v>26</v>
      </c>
      <c r="I4" s="27"/>
      <c r="J4" s="27" t="s">
        <v>28</v>
      </c>
      <c r="K4" s="27"/>
      <c r="L4" s="51">
        <v>0.5</v>
      </c>
      <c r="M4" s="52" t="s">
        <v>29</v>
      </c>
      <c r="N4" s="53"/>
    </row>
    <row r="5" spans="1:14" ht="20.100000000000001" customHeight="1" x14ac:dyDescent="0.25">
      <c r="A5" s="37"/>
      <c r="B5" s="38"/>
      <c r="C5" s="39"/>
      <c r="D5" s="43">
        <v>60</v>
      </c>
      <c r="E5" s="43"/>
      <c r="F5" s="27" t="s">
        <v>39</v>
      </c>
      <c r="G5" s="27"/>
      <c r="H5" s="27" t="s">
        <v>25</v>
      </c>
      <c r="I5" s="27"/>
      <c r="J5" s="27"/>
      <c r="K5" s="27"/>
      <c r="L5" s="25"/>
      <c r="M5" s="54">
        <v>0.6</v>
      </c>
      <c r="N5" s="56">
        <v>2</v>
      </c>
    </row>
    <row r="6" spans="1:14" ht="20.100000000000001" customHeight="1" x14ac:dyDescent="0.25">
      <c r="A6" s="40"/>
      <c r="B6" s="41"/>
      <c r="C6" s="42"/>
      <c r="D6" s="43">
        <v>50</v>
      </c>
      <c r="E6" s="43"/>
      <c r="F6" s="33" t="s">
        <v>40</v>
      </c>
      <c r="G6" s="33"/>
      <c r="H6" s="33" t="s">
        <v>27</v>
      </c>
      <c r="I6" s="33"/>
      <c r="J6" s="27"/>
      <c r="K6" s="27"/>
      <c r="L6" s="25"/>
      <c r="M6" s="55"/>
      <c r="N6" s="57"/>
    </row>
    <row r="7" spans="1:14" ht="39.75" customHeight="1" x14ac:dyDescent="0.25">
      <c r="A7" s="25" t="s">
        <v>43</v>
      </c>
      <c r="B7" s="25"/>
      <c r="C7" s="25"/>
      <c r="D7" s="25"/>
      <c r="E7" s="25"/>
      <c r="F7" s="25"/>
      <c r="G7" s="25"/>
      <c r="H7" s="25"/>
      <c r="I7" s="25"/>
      <c r="J7" s="7" t="s">
        <v>44</v>
      </c>
      <c r="K7" s="7" t="s">
        <v>45</v>
      </c>
      <c r="L7" s="7" t="s">
        <v>46</v>
      </c>
      <c r="M7" s="7" t="s">
        <v>47</v>
      </c>
      <c r="N7" s="8" t="s">
        <v>48</v>
      </c>
    </row>
    <row r="8" spans="1:14" ht="38.25" customHeight="1" x14ac:dyDescent="0.25">
      <c r="A8" s="24" t="s">
        <v>51</v>
      </c>
      <c r="B8" s="24"/>
      <c r="C8" s="24"/>
      <c r="D8" s="5" t="s">
        <v>3</v>
      </c>
      <c r="E8" s="7" t="s">
        <v>44</v>
      </c>
      <c r="F8" s="7" t="s">
        <v>45</v>
      </c>
      <c r="G8" s="7" t="s">
        <v>46</v>
      </c>
      <c r="H8" s="7" t="s">
        <v>47</v>
      </c>
      <c r="I8" s="8" t="s">
        <v>48</v>
      </c>
      <c r="J8" s="4" t="s">
        <v>19</v>
      </c>
      <c r="K8" s="4" t="s">
        <v>19</v>
      </c>
      <c r="L8" s="4" t="s">
        <v>19</v>
      </c>
      <c r="M8" s="4" t="s">
        <v>19</v>
      </c>
      <c r="N8" s="4" t="s">
        <v>19</v>
      </c>
    </row>
    <row r="9" spans="1:14" ht="20.100000000000001" customHeight="1" x14ac:dyDescent="0.25">
      <c r="A9" s="4" t="s">
        <v>0</v>
      </c>
      <c r="B9" s="4" t="s">
        <v>1</v>
      </c>
      <c r="C9" s="4" t="s">
        <v>2</v>
      </c>
      <c r="D9" s="3">
        <v>60</v>
      </c>
      <c r="E9" s="2">
        <v>10</v>
      </c>
      <c r="F9" s="2">
        <v>10</v>
      </c>
      <c r="G9" s="2">
        <v>10</v>
      </c>
      <c r="H9" s="3">
        <v>15</v>
      </c>
      <c r="I9" s="3">
        <v>15</v>
      </c>
      <c r="J9" s="4">
        <v>100</v>
      </c>
      <c r="K9" s="4">
        <v>100</v>
      </c>
      <c r="L9" s="4">
        <v>100</v>
      </c>
      <c r="M9" s="4">
        <v>100</v>
      </c>
      <c r="N9" s="4">
        <v>100</v>
      </c>
    </row>
    <row r="10" spans="1:14" ht="20.100000000000001" customHeight="1" x14ac:dyDescent="0.25">
      <c r="A10" s="4">
        <v>1</v>
      </c>
      <c r="B10" s="4" t="s">
        <v>4</v>
      </c>
      <c r="C10" s="4" t="s">
        <v>7</v>
      </c>
      <c r="D10" s="4">
        <v>45</v>
      </c>
      <c r="E10" s="5">
        <v>9</v>
      </c>
      <c r="F10" s="5">
        <v>9</v>
      </c>
      <c r="G10" s="5">
        <v>9</v>
      </c>
      <c r="H10" s="4">
        <v>11</v>
      </c>
      <c r="I10" s="4">
        <v>7</v>
      </c>
      <c r="J10" s="11">
        <f>(E10*100)/$E$9</f>
        <v>90</v>
      </c>
      <c r="K10" s="11">
        <f>(F10*100)/$F$9</f>
        <v>90</v>
      </c>
      <c r="L10" s="11">
        <f>(G10*100)/$G$9</f>
        <v>90</v>
      </c>
      <c r="M10" s="11">
        <f>(H10*100)/$H$9</f>
        <v>73.333333333333329</v>
      </c>
      <c r="N10" s="11">
        <f>(I10*100)/$I$9</f>
        <v>46.666666666666664</v>
      </c>
    </row>
    <row r="11" spans="1:14" ht="20.100000000000001" customHeight="1" x14ac:dyDescent="0.25">
      <c r="A11" s="4">
        <v>2</v>
      </c>
      <c r="B11" s="4" t="s">
        <v>5</v>
      </c>
      <c r="C11" s="4" t="s">
        <v>8</v>
      </c>
      <c r="D11" s="4">
        <v>55</v>
      </c>
      <c r="E11" s="5">
        <v>10</v>
      </c>
      <c r="F11" s="5">
        <v>10</v>
      </c>
      <c r="G11" s="5">
        <v>10</v>
      </c>
      <c r="H11" s="4">
        <v>14</v>
      </c>
      <c r="I11" s="4">
        <v>11</v>
      </c>
      <c r="J11" s="11">
        <f t="shared" ref="J11:J20" si="0">(E11*100)/$E$9</f>
        <v>100</v>
      </c>
      <c r="K11" s="11">
        <f t="shared" ref="K11:K20" si="1">(F11*100)/$F$9</f>
        <v>100</v>
      </c>
      <c r="L11" s="11">
        <f t="shared" ref="L11:L20" si="2">(G11*100)/$G$9</f>
        <v>100</v>
      </c>
      <c r="M11" s="11">
        <f t="shared" ref="M11:M20" si="3">(H11*100)/$H$9</f>
        <v>93.333333333333329</v>
      </c>
      <c r="N11" s="11">
        <f t="shared" ref="N11:N20" si="4">(I11*100)/$I$9</f>
        <v>73.333333333333329</v>
      </c>
    </row>
    <row r="12" spans="1:14" ht="20.100000000000001" customHeight="1" x14ac:dyDescent="0.25">
      <c r="A12" s="4">
        <v>3</v>
      </c>
      <c r="B12" s="4" t="s">
        <v>6</v>
      </c>
      <c r="C12" s="4" t="s">
        <v>9</v>
      </c>
      <c r="D12" s="4">
        <v>33</v>
      </c>
      <c r="E12" s="5">
        <v>5</v>
      </c>
      <c r="F12" s="5">
        <v>5</v>
      </c>
      <c r="G12" s="5">
        <v>10</v>
      </c>
      <c r="H12" s="4">
        <v>13</v>
      </c>
      <c r="I12" s="4">
        <v>0</v>
      </c>
      <c r="J12" s="11">
        <f t="shared" si="0"/>
        <v>50</v>
      </c>
      <c r="K12" s="11">
        <f t="shared" si="1"/>
        <v>50</v>
      </c>
      <c r="L12" s="11">
        <f t="shared" si="2"/>
        <v>100</v>
      </c>
      <c r="M12" s="11">
        <f t="shared" si="3"/>
        <v>86.666666666666671</v>
      </c>
      <c r="N12" s="11">
        <f t="shared" si="4"/>
        <v>0</v>
      </c>
    </row>
    <row r="13" spans="1:14" ht="20.100000000000001" customHeight="1" x14ac:dyDescent="0.25">
      <c r="A13" s="4">
        <v>4</v>
      </c>
      <c r="B13" s="4" t="s">
        <v>4</v>
      </c>
      <c r="C13" s="4" t="s">
        <v>10</v>
      </c>
      <c r="D13" s="4">
        <v>21</v>
      </c>
      <c r="E13" s="5">
        <v>4</v>
      </c>
      <c r="F13" s="5">
        <v>4</v>
      </c>
      <c r="G13" s="5">
        <v>4</v>
      </c>
      <c r="H13" s="4">
        <v>4</v>
      </c>
      <c r="I13" s="4">
        <v>5</v>
      </c>
      <c r="J13" s="11">
        <f t="shared" si="0"/>
        <v>40</v>
      </c>
      <c r="K13" s="11">
        <f t="shared" si="1"/>
        <v>40</v>
      </c>
      <c r="L13" s="11">
        <f t="shared" si="2"/>
        <v>40</v>
      </c>
      <c r="M13" s="11">
        <f t="shared" si="3"/>
        <v>26.666666666666668</v>
      </c>
      <c r="N13" s="11">
        <f t="shared" si="4"/>
        <v>33.333333333333336</v>
      </c>
    </row>
    <row r="14" spans="1:14" ht="20.100000000000001" customHeight="1" x14ac:dyDescent="0.25">
      <c r="A14" s="4">
        <v>5</v>
      </c>
      <c r="B14" s="4" t="s">
        <v>5</v>
      </c>
      <c r="C14" s="4" t="s">
        <v>7</v>
      </c>
      <c r="D14" s="4">
        <v>22</v>
      </c>
      <c r="E14" s="5">
        <v>5</v>
      </c>
      <c r="F14" s="5">
        <v>5</v>
      </c>
      <c r="G14" s="5">
        <v>6</v>
      </c>
      <c r="H14" s="4">
        <v>3</v>
      </c>
      <c r="I14" s="4">
        <v>3</v>
      </c>
      <c r="J14" s="11">
        <f t="shared" si="0"/>
        <v>50</v>
      </c>
      <c r="K14" s="11">
        <f t="shared" si="1"/>
        <v>50</v>
      </c>
      <c r="L14" s="11">
        <f t="shared" si="2"/>
        <v>60</v>
      </c>
      <c r="M14" s="11">
        <f t="shared" si="3"/>
        <v>20</v>
      </c>
      <c r="N14" s="11">
        <f t="shared" si="4"/>
        <v>20</v>
      </c>
    </row>
    <row r="15" spans="1:14" ht="20.100000000000001" customHeight="1" x14ac:dyDescent="0.25">
      <c r="A15" s="4">
        <v>6</v>
      </c>
      <c r="B15" s="4" t="s">
        <v>6</v>
      </c>
      <c r="C15" s="4" t="s">
        <v>8</v>
      </c>
      <c r="D15" s="4">
        <v>24</v>
      </c>
      <c r="E15" s="5">
        <v>8</v>
      </c>
      <c r="F15" s="5">
        <v>5</v>
      </c>
      <c r="G15" s="5">
        <v>7</v>
      </c>
      <c r="H15" s="4">
        <v>2</v>
      </c>
      <c r="I15" s="4">
        <v>2</v>
      </c>
      <c r="J15" s="11">
        <f t="shared" si="0"/>
        <v>80</v>
      </c>
      <c r="K15" s="11">
        <f t="shared" si="1"/>
        <v>50</v>
      </c>
      <c r="L15" s="11">
        <f t="shared" si="2"/>
        <v>70</v>
      </c>
      <c r="M15" s="11">
        <f t="shared" si="3"/>
        <v>13.333333333333334</v>
      </c>
      <c r="N15" s="11">
        <f t="shared" si="4"/>
        <v>13.333333333333334</v>
      </c>
    </row>
    <row r="16" spans="1:14" ht="20.100000000000001" customHeight="1" x14ac:dyDescent="0.25">
      <c r="A16" s="4">
        <v>7</v>
      </c>
      <c r="B16" s="4" t="s">
        <v>4</v>
      </c>
      <c r="C16" s="4" t="s">
        <v>9</v>
      </c>
      <c r="D16" s="4">
        <v>57</v>
      </c>
      <c r="E16" s="5">
        <v>10</v>
      </c>
      <c r="F16" s="5">
        <v>10</v>
      </c>
      <c r="G16" s="5">
        <v>9</v>
      </c>
      <c r="H16" s="4">
        <v>14</v>
      </c>
      <c r="I16" s="4">
        <v>14</v>
      </c>
      <c r="J16" s="11">
        <f t="shared" si="0"/>
        <v>100</v>
      </c>
      <c r="K16" s="11">
        <f t="shared" si="1"/>
        <v>100</v>
      </c>
      <c r="L16" s="11">
        <f t="shared" si="2"/>
        <v>90</v>
      </c>
      <c r="M16" s="11">
        <f t="shared" si="3"/>
        <v>93.333333333333329</v>
      </c>
      <c r="N16" s="11">
        <f t="shared" si="4"/>
        <v>93.333333333333329</v>
      </c>
    </row>
    <row r="17" spans="1:14" ht="20.100000000000001" customHeight="1" x14ac:dyDescent="0.25">
      <c r="A17" s="4">
        <v>8</v>
      </c>
      <c r="B17" s="4" t="s">
        <v>5</v>
      </c>
      <c r="C17" s="4" t="s">
        <v>10</v>
      </c>
      <c r="D17" s="4">
        <v>47</v>
      </c>
      <c r="E17" s="5">
        <v>10</v>
      </c>
      <c r="F17" s="5">
        <v>10</v>
      </c>
      <c r="G17" s="5">
        <v>10</v>
      </c>
      <c r="H17" s="4">
        <v>8</v>
      </c>
      <c r="I17" s="4">
        <v>9</v>
      </c>
      <c r="J17" s="11">
        <f t="shared" si="0"/>
        <v>100</v>
      </c>
      <c r="K17" s="11">
        <f t="shared" si="1"/>
        <v>100</v>
      </c>
      <c r="L17" s="11">
        <f t="shared" si="2"/>
        <v>100</v>
      </c>
      <c r="M17" s="11">
        <f t="shared" si="3"/>
        <v>53.333333333333336</v>
      </c>
      <c r="N17" s="11">
        <f t="shared" si="4"/>
        <v>60</v>
      </c>
    </row>
    <row r="18" spans="1:14" ht="20.100000000000001" customHeight="1" x14ac:dyDescent="0.25">
      <c r="A18" s="4">
        <v>9</v>
      </c>
      <c r="B18" s="4" t="s">
        <v>6</v>
      </c>
      <c r="C18" s="4" t="s">
        <v>7</v>
      </c>
      <c r="D18" s="4">
        <v>34</v>
      </c>
      <c r="E18" s="5">
        <v>5</v>
      </c>
      <c r="F18" s="5">
        <v>5</v>
      </c>
      <c r="G18" s="5">
        <v>5</v>
      </c>
      <c r="H18" s="4">
        <v>5</v>
      </c>
      <c r="I18" s="4">
        <v>5</v>
      </c>
      <c r="J18" s="11">
        <f t="shared" si="0"/>
        <v>50</v>
      </c>
      <c r="K18" s="11">
        <f t="shared" si="1"/>
        <v>50</v>
      </c>
      <c r="L18" s="11">
        <f t="shared" si="2"/>
        <v>50</v>
      </c>
      <c r="M18" s="11">
        <f t="shared" si="3"/>
        <v>33.333333333333336</v>
      </c>
      <c r="N18" s="11">
        <f t="shared" si="4"/>
        <v>33.333333333333336</v>
      </c>
    </row>
    <row r="19" spans="1:14" ht="20.100000000000001" customHeight="1" x14ac:dyDescent="0.25">
      <c r="A19" s="4">
        <v>10</v>
      </c>
      <c r="B19" s="4" t="s">
        <v>4</v>
      </c>
      <c r="C19" s="4" t="s">
        <v>8</v>
      </c>
      <c r="D19" s="4">
        <v>12</v>
      </c>
      <c r="E19" s="5">
        <v>4</v>
      </c>
      <c r="F19" s="5">
        <v>5</v>
      </c>
      <c r="G19" s="5">
        <v>5</v>
      </c>
      <c r="H19" s="4">
        <v>5</v>
      </c>
      <c r="I19" s="4">
        <v>5</v>
      </c>
      <c r="J19" s="11">
        <f t="shared" si="0"/>
        <v>40</v>
      </c>
      <c r="K19" s="11">
        <f t="shared" si="1"/>
        <v>50</v>
      </c>
      <c r="L19" s="11">
        <f t="shared" si="2"/>
        <v>50</v>
      </c>
      <c r="M19" s="11">
        <f t="shared" si="3"/>
        <v>33.333333333333336</v>
      </c>
      <c r="N19" s="11">
        <f t="shared" si="4"/>
        <v>33.333333333333336</v>
      </c>
    </row>
    <row r="20" spans="1:14" ht="20.100000000000001" customHeight="1" x14ac:dyDescent="0.25">
      <c r="A20" s="4">
        <v>11</v>
      </c>
      <c r="B20" s="4" t="s">
        <v>41</v>
      </c>
      <c r="C20" s="4" t="s">
        <v>42</v>
      </c>
      <c r="D20" s="4">
        <v>17</v>
      </c>
      <c r="E20" s="5">
        <v>5</v>
      </c>
      <c r="F20" s="13">
        <v>5</v>
      </c>
      <c r="G20" s="5">
        <v>2</v>
      </c>
      <c r="H20" s="4">
        <v>2</v>
      </c>
      <c r="I20" s="4">
        <v>4</v>
      </c>
      <c r="J20" s="11">
        <f t="shared" si="0"/>
        <v>50</v>
      </c>
      <c r="K20" s="11">
        <f t="shared" si="1"/>
        <v>50</v>
      </c>
      <c r="L20" s="11">
        <f t="shared" si="2"/>
        <v>20</v>
      </c>
      <c r="M20" s="11">
        <f t="shared" si="3"/>
        <v>13.333333333333334</v>
      </c>
      <c r="N20" s="11">
        <f t="shared" si="4"/>
        <v>26.666666666666668</v>
      </c>
    </row>
    <row r="21" spans="1:14" ht="30" customHeight="1" x14ac:dyDescent="0.25">
      <c r="A21" s="26" t="s">
        <v>37</v>
      </c>
      <c r="B21" s="26"/>
      <c r="C21" s="26"/>
      <c r="D21" s="22" t="s">
        <v>36</v>
      </c>
      <c r="E21" s="23"/>
      <c r="F21" s="59" t="s">
        <v>11</v>
      </c>
      <c r="G21" s="58" t="s">
        <v>12</v>
      </c>
      <c r="H21" s="58"/>
      <c r="I21" s="58"/>
      <c r="J21" s="12">
        <v>0</v>
      </c>
      <c r="K21" s="12">
        <v>0</v>
      </c>
      <c r="L21" s="12">
        <v>0</v>
      </c>
      <c r="M21" s="12">
        <v>0</v>
      </c>
      <c r="N21" s="12">
        <v>0</v>
      </c>
    </row>
    <row r="22" spans="1:14" ht="30" customHeight="1" x14ac:dyDescent="0.25">
      <c r="A22" s="26" t="s">
        <v>32</v>
      </c>
      <c r="B22" s="26"/>
      <c r="C22" s="26"/>
      <c r="D22" s="22">
        <v>0.4</v>
      </c>
      <c r="E22" s="23"/>
      <c r="F22" s="60"/>
      <c r="G22" s="58" t="s">
        <v>13</v>
      </c>
      <c r="H22" s="58"/>
      <c r="I22" s="58"/>
      <c r="J22" s="12">
        <v>11</v>
      </c>
      <c r="K22" s="12">
        <v>11</v>
      </c>
      <c r="L22" s="12">
        <v>11</v>
      </c>
      <c r="M22" s="12">
        <v>11</v>
      </c>
      <c r="N22" s="12">
        <v>11</v>
      </c>
    </row>
    <row r="23" spans="1:14" ht="30" customHeight="1" x14ac:dyDescent="0.25">
      <c r="A23" s="15" t="s">
        <v>33</v>
      </c>
      <c r="B23" s="15"/>
      <c r="C23" s="15"/>
      <c r="D23" s="22" t="s">
        <v>36</v>
      </c>
      <c r="E23" s="23"/>
      <c r="F23" s="60"/>
      <c r="G23" s="58" t="s">
        <v>14</v>
      </c>
      <c r="H23" s="58"/>
      <c r="I23" s="58"/>
      <c r="J23" s="12">
        <f>COUNTIF(J10:J20,"&gt;50")</f>
        <v>5</v>
      </c>
      <c r="K23" s="12">
        <f>COUNTIF(K10:K20,"&gt;50")</f>
        <v>4</v>
      </c>
      <c r="L23" s="12">
        <f>COUNTIF(L10:L20,"&gt;50")</f>
        <v>7</v>
      </c>
      <c r="M23" s="12">
        <f>COUNTIF(M10:M20,"&gt;50")</f>
        <v>5</v>
      </c>
      <c r="N23" s="12">
        <f>COUNTIF(N10:N20,"&gt;50")</f>
        <v>3</v>
      </c>
    </row>
    <row r="24" spans="1:14" ht="30" customHeight="1" x14ac:dyDescent="0.25">
      <c r="A24" s="15" t="s">
        <v>34</v>
      </c>
      <c r="B24" s="15"/>
      <c r="C24" s="15"/>
      <c r="D24" s="22" t="s">
        <v>36</v>
      </c>
      <c r="E24" s="23"/>
      <c r="F24" s="60"/>
      <c r="G24" s="58" t="s">
        <v>15</v>
      </c>
      <c r="H24" s="58"/>
      <c r="I24" s="58"/>
      <c r="J24" s="14">
        <f>(J23*100)/J22</f>
        <v>45.454545454545453</v>
      </c>
      <c r="K24" s="14">
        <f t="shared" ref="K24:N24" si="5">(K23*100)/K22</f>
        <v>36.363636363636367</v>
      </c>
      <c r="L24" s="14">
        <f t="shared" si="5"/>
        <v>63.636363636363633</v>
      </c>
      <c r="M24" s="14">
        <f t="shared" si="5"/>
        <v>45.454545454545453</v>
      </c>
      <c r="N24" s="14">
        <f t="shared" si="5"/>
        <v>27.272727272727273</v>
      </c>
    </row>
    <row r="25" spans="1:14" ht="30" customHeight="1" x14ac:dyDescent="0.25">
      <c r="A25" s="16" t="s">
        <v>35</v>
      </c>
      <c r="B25" s="17"/>
      <c r="C25" s="18"/>
      <c r="D25" s="44" t="s">
        <v>36</v>
      </c>
      <c r="E25" s="45"/>
      <c r="F25" s="60"/>
      <c r="G25" s="62" t="s">
        <v>18</v>
      </c>
      <c r="H25" s="62"/>
      <c r="I25" s="62"/>
      <c r="J25" s="12">
        <f>IF(J24&gt;70,3, IF(J24&gt;60,2,IF(J24&gt;50,1,0)))</f>
        <v>0</v>
      </c>
      <c r="K25" s="12">
        <f t="shared" ref="K25:N25" si="6">IF(K24&gt;70,3, IF(K24&gt;60,2,IF(K24&gt;50,1,0)))</f>
        <v>0</v>
      </c>
      <c r="L25" s="12">
        <f t="shared" si="6"/>
        <v>2</v>
      </c>
      <c r="M25" s="12">
        <f t="shared" si="6"/>
        <v>0</v>
      </c>
      <c r="N25" s="12">
        <f t="shared" si="6"/>
        <v>0</v>
      </c>
    </row>
    <row r="26" spans="1:14" ht="30" customHeight="1" x14ac:dyDescent="0.25">
      <c r="A26" s="19"/>
      <c r="B26" s="20"/>
      <c r="C26" s="21"/>
      <c r="D26" s="46"/>
      <c r="E26" s="47"/>
      <c r="F26" s="61"/>
      <c r="G26" s="58" t="s">
        <v>17</v>
      </c>
      <c r="H26" s="58"/>
      <c r="I26" s="58"/>
      <c r="J26" s="48">
        <f>AVERAGE(J25:N25)</f>
        <v>0.4</v>
      </c>
      <c r="K26" s="49"/>
      <c r="L26" s="49"/>
      <c r="M26" s="49"/>
      <c r="N26" s="50"/>
    </row>
  </sheetData>
  <protectedRanges>
    <protectedRange sqref="C4:D6" name="Range1"/>
  </protectedRanges>
  <mergeCells count="41">
    <mergeCell ref="H6:I6"/>
    <mergeCell ref="J26:N26"/>
    <mergeCell ref="L4:L6"/>
    <mergeCell ref="M4:N4"/>
    <mergeCell ref="M5:M6"/>
    <mergeCell ref="N5:N6"/>
    <mergeCell ref="J4:K6"/>
    <mergeCell ref="A1:N1"/>
    <mergeCell ref="A2:N2"/>
    <mergeCell ref="E3:F3"/>
    <mergeCell ref="J3:K3"/>
    <mergeCell ref="M3:N3"/>
    <mergeCell ref="A3:D3"/>
    <mergeCell ref="F4:G4"/>
    <mergeCell ref="F5:G5"/>
    <mergeCell ref="F6:G6"/>
    <mergeCell ref="A4:C6"/>
    <mergeCell ref="D4:E4"/>
    <mergeCell ref="D5:E5"/>
    <mergeCell ref="D6:E6"/>
    <mergeCell ref="H4:I4"/>
    <mergeCell ref="H5:I5"/>
    <mergeCell ref="A8:C8"/>
    <mergeCell ref="A7:I7"/>
    <mergeCell ref="A21:C21"/>
    <mergeCell ref="A22:C22"/>
    <mergeCell ref="A23:C23"/>
    <mergeCell ref="G21:I21"/>
    <mergeCell ref="F21:F26"/>
    <mergeCell ref="G22:I22"/>
    <mergeCell ref="G23:I23"/>
    <mergeCell ref="G24:I24"/>
    <mergeCell ref="G25:I25"/>
    <mergeCell ref="G26:I26"/>
    <mergeCell ref="A24:C24"/>
    <mergeCell ref="A25:C26"/>
    <mergeCell ref="D21:E21"/>
    <mergeCell ref="D22:E22"/>
    <mergeCell ref="D23:E23"/>
    <mergeCell ref="D24:E24"/>
    <mergeCell ref="D25:E2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Method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2024-05-09T07:15:06Z</dcterms:modified>
</cp:coreProperties>
</file>